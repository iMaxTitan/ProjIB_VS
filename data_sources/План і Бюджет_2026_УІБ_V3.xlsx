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tbmarket-my.sharepoint.com/personal/bondarenkol_atbmarket_com/Documents/Рабочий стол/Отчеты_поквартально/2026/СД/"/>
    </mc:Choice>
  </mc:AlternateContent>
  <xr:revisionPtr revIDLastSave="358" documentId="13_ncr:1_{72BB59BC-A2B4-4CCA-AE08-428BA2B07150}" xr6:coauthVersionLast="47" xr6:coauthVersionMax="47" xr10:uidLastSave="{B2AC15D1-2CC8-427C-93DE-035AE6F2D984}"/>
  <bookViews>
    <workbookView minimized="1" xWindow="-29952" yWindow="768" windowWidth="23040" windowHeight="12120" xr2:uid="{00000000-000D-0000-FFFF-FFFF00000000}"/>
  </bookViews>
  <sheets>
    <sheet name="Бюджет ІБ 2026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0" l="1"/>
  <c r="D14" i="10"/>
  <c r="D12" i="10"/>
  <c r="D11" i="10"/>
  <c r="D10" i="10"/>
  <c r="D7" i="10"/>
  <c r="D6" i="10"/>
  <c r="D5" i="10"/>
  <c r="D16" i="10" l="1"/>
  <c r="D26" i="10"/>
  <c r="D25" i="10"/>
  <c r="D24" i="10" l="1"/>
  <c r="D15" i="10"/>
  <c r="D8" i="10"/>
  <c r="D4" i="10" l="1"/>
  <c r="D33" i="10" s="1"/>
  <c r="E31" i="10" l="1"/>
  <c r="E4" i="10" l="1"/>
  <c r="C12" i="10"/>
  <c r="E29" i="10"/>
  <c r="E24" i="10"/>
  <c r="C24" i="10"/>
  <c r="E19" i="10"/>
  <c r="E15" i="10"/>
  <c r="C15" i="10"/>
  <c r="C4" i="10"/>
  <c r="E9" i="10"/>
  <c r="C10" i="10"/>
  <c r="E8" i="10" l="1"/>
  <c r="E33" i="10" s="1"/>
  <c r="C8" i="10"/>
  <c r="C3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tc={EB1DC0AB-147A-4237-8B33-0A8A245EE071}</author>
  </authors>
  <commentList>
    <comment ref="C33" authorId="0" shapeId="0" xr:uid="{EB1DC0AB-147A-4237-8B33-0A8A245EE07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$1 998 034 (бюджет на 2025 р.)</t>
      </text>
    </comment>
  </commentList>
</comments>
</file>

<file path=xl/sharedStrings.xml><?xml version="1.0" encoding="utf-8"?>
<sst xmlns="http://schemas.openxmlformats.org/spreadsheetml/2006/main" count="65" uniqueCount="64">
  <si>
    <t>Зменшення впливу інцидентів ІБ на бізнес-процеси і можливі втрати</t>
  </si>
  <si>
    <t>Зменшення кількості інцидентів ІБ і можливих втрат від них за рахунок скорочення часу реагування на події ІБ</t>
  </si>
  <si>
    <t>Зменшення витрат на вирішення наслідків від можливих інцидентів ІБ за рахунок впровадження контролів</t>
  </si>
  <si>
    <t>Зменшення часу комунікації і реагування на інциденти ІБ, операційних втрат у разі набору чи зміни персоналу за рахунок задокументованої бази знань встановлених процесів і практик ІБ</t>
  </si>
  <si>
    <t>Загальна вартість:</t>
  </si>
  <si>
    <t>Контроль і оновлення налаштувань безпеки ІС і обладнання, що зменшить вірогідність успішної атаки на інфраструктуру компанії</t>
  </si>
  <si>
    <t>Захист від кібератак, спрямованих на компрометацію віддалених робочих місць співробітників, що зменшить кількість інцидентів ІБ і можливих втрат</t>
  </si>
  <si>
    <t>Оцінка стану процесів ІБ з урахуванням наданих рекомендацій компанією EY</t>
  </si>
  <si>
    <t>Ціль</t>
  </si>
  <si>
    <t>Контроль дотримання вимог ІБ на всіх етапах життєвого циклу ІС, що забезпечить зменшення інцидентів і витрат на їх вирішення</t>
  </si>
  <si>
    <t>Підвищення ефективності функції ІБ, що забезпечить покращення захисту ІТ інфраструктури компанії від кіберзагроз та зменшить наслідки від можливих інцидентів ІБ</t>
  </si>
  <si>
    <t>Зменшення кількості вразливостей у ІТ-інфраструктурі, що зменшить вектор і вірогідність успішної атаки на компанію</t>
  </si>
  <si>
    <t>План і бюджет управління інформаційної безпеки на 2026 рік</t>
  </si>
  <si>
    <t>Для забезпечення роботи хмарних сервісів кібербезпеки</t>
  </si>
  <si>
    <t>Зміна вартості ліцензій</t>
  </si>
  <si>
    <t>Сервіс пошуку скомпрометованих даних користувачів та додатків, що належать Компанії</t>
  </si>
  <si>
    <t xml:space="preserve">Проведення тестування зовнішнього периметра мережі ТОВ "АТБ-маркет" на несанкціонований доступ до інформаційних ресурсів Компанії </t>
  </si>
  <si>
    <t>Навчання співробітників УІБ</t>
  </si>
  <si>
    <t xml:space="preserve">Відвідування виставок та конференцій </t>
  </si>
  <si>
    <t>Система управління вразливостями ІБ</t>
  </si>
  <si>
    <t>Система контролю за правами доступу адміністраторів систем</t>
  </si>
  <si>
    <t>Система контролю за правами доступу користувачів</t>
  </si>
  <si>
    <t>Діагностика функцій ІБ компанією EY</t>
  </si>
  <si>
    <t>Обґрунтування</t>
  </si>
  <si>
    <t xml:space="preserve">Обмін ідентифікаторами компрометації з СБУ </t>
  </si>
  <si>
    <t xml:space="preserve">Зміна вартості ліцензій </t>
  </si>
  <si>
    <t>Придбання технічної підтримки</t>
  </si>
  <si>
    <t>Застаріла система моніторингу подій ІБ</t>
  </si>
  <si>
    <t>1. Завчасне виявлення і реагування на події що потенційно можуть призвести до втрат</t>
  </si>
  <si>
    <t>2. Своєчасне виявлення та реагування на інциденти ІБ, і запобігання подальшому поширенню та зменшити ймовірність повторення</t>
  </si>
  <si>
    <t>3. Виявлення та усунення вразливостей у ІТ інфраструктурі компанії, задля унеможливлення їх використання зловмисниками</t>
  </si>
  <si>
    <t>4. Належний рівень захисту ІТ інфраструктури компанії від атак які використовують недосконалості налаштувань ІС та обладнання</t>
  </si>
  <si>
    <t>5. Контроль за правами доступу користувачів і захист від несанкціонованого доступу</t>
  </si>
  <si>
    <t>6. Захист ІТ інфраструктури компанії та інформаційних систем на всіх етапах життєвого циклу</t>
  </si>
  <si>
    <t>7. Захист і контроль віддалених робочих місць співробітників групи компаній "АТБ"</t>
  </si>
  <si>
    <t>8. Підвищення кваліфікації співробітників УІБ</t>
  </si>
  <si>
    <t>9. Забезпечення доцільними засобами інформаційної безпеки</t>
  </si>
  <si>
    <t>10. Документування і актуалізація основних завдань функції ІБ та алгоритмів їх виконання</t>
  </si>
  <si>
    <t>11. Діагностика процесів інформаційної безпеки</t>
  </si>
  <si>
    <t>1.1. Придбання ліцензій Microsoft E5 Security</t>
  </si>
  <si>
    <t>1.2. Придбання хмарного сервісу Microsoft Azure</t>
  </si>
  <si>
    <t>1.3. Придбання ліцензій Cognute Luminar</t>
  </si>
  <si>
    <t>2.1. Придбання ліцензій SIEM (CrowdStrike)</t>
  </si>
  <si>
    <t>2.2. Придбання ліцензій SIEM (Qradar)</t>
  </si>
  <si>
    <t>2.3. Придбання ліцензій ОС Linux Red Had Enterprise Enterprise</t>
  </si>
  <si>
    <t>2.4. Придбання ліцензій EDR (CrowdStrike)</t>
  </si>
  <si>
    <t>2.5. Технічна підтримка EDR (CrowdStrike)</t>
  </si>
  <si>
    <t>2.6. Придбання ліцензій ОІС Management Platform</t>
  </si>
  <si>
    <t>3.1. Проведення тесту на проникнення</t>
  </si>
  <si>
    <t>3.2. Придбання ліцензій Rapid7 Threat Complete</t>
  </si>
  <si>
    <t>5.1. Придбання і впровадження системи РАМ</t>
  </si>
  <si>
    <t>5.2. Придбання і впровадження системи IDM</t>
  </si>
  <si>
    <t>8.1. Підвищення кваліфікації співробітників УІБ</t>
  </si>
  <si>
    <t>8.2. Витрати на відрядження</t>
  </si>
  <si>
    <t>11.1. Послуги з діагностики процесів інформаційної безпеки</t>
  </si>
  <si>
    <t>Оновлення на сучасну систему моніторингу та реагування на інциденти ІБ</t>
  </si>
  <si>
    <t>Покращення технічного оснащення робочих місць для ефективнішого виконання функцій ІБ</t>
  </si>
  <si>
    <t>12. Модернізація та придбання обладнання для співробітників УІБ</t>
  </si>
  <si>
    <t>12.1. Витрати та придбання обладнання</t>
  </si>
  <si>
    <t>Придбання додаткових моніторів</t>
  </si>
  <si>
    <t>План 
2025 р.</t>
  </si>
  <si>
    <t>Бюджет</t>
  </si>
  <si>
    <t>Факт 
2025 р.</t>
  </si>
  <si>
    <t>План
2026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</si>
</sst>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[$$-409]#,##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F5F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2" fillId="0" borderId="0" xfId="0" applyNumberFormat="1" applyFont="1"/>
    <xf numFmtId="0" fontId="4" fillId="5" borderId="1" xfId="0" applyFont="1" applyFill="1" applyBorder="1" applyAlignment="1">
      <alignment horizontal="left" vertical="center" wrapText="1" readingOrder="1"/>
    </xf>
    <xf numFmtId="165" fontId="2" fillId="0" borderId="0" xfId="0" applyNumberFormat="1" applyFont="1"/>
    <xf numFmtId="0" fontId="4" fillId="5" borderId="10" xfId="0" applyFont="1" applyFill="1" applyBorder="1" applyAlignment="1">
      <alignment horizontal="left" vertical="center" wrapText="1" readingOrder="1"/>
    </xf>
    <xf numFmtId="0" fontId="4" fillId="5" borderId="1" xfId="0" applyFont="1" applyFill="1" applyBorder="1" applyAlignment="1">
      <alignment vertical="center" wrapText="1" readingOrder="1"/>
    </xf>
    <xf numFmtId="165" fontId="1" fillId="2" borderId="9" xfId="0" applyNumberFormat="1" applyFont="1" applyFill="1" applyBorder="1" applyAlignment="1">
      <alignment horizontal="center" vertical="center"/>
    </xf>
    <xf numFmtId="165" fontId="8" fillId="5" borderId="9" xfId="0" applyNumberFormat="1" applyFont="1" applyFill="1" applyBorder="1" applyAlignment="1">
      <alignment horizontal="center" vertical="center" wrapText="1" readingOrder="1"/>
    </xf>
    <xf numFmtId="165" fontId="8" fillId="5" borderId="13" xfId="0" applyNumberFormat="1" applyFont="1" applyFill="1" applyBorder="1" applyAlignment="1">
      <alignment horizontal="center" vertical="center" wrapText="1" readingOrder="1"/>
    </xf>
    <xf numFmtId="165" fontId="6" fillId="5" borderId="14" xfId="0" applyNumberFormat="1" applyFont="1" applyFill="1" applyBorder="1" applyAlignment="1">
      <alignment horizontal="center" vertical="center" wrapText="1" readingOrder="1"/>
    </xf>
    <xf numFmtId="165" fontId="6" fillId="5" borderId="9" xfId="0" applyNumberFormat="1" applyFont="1" applyFill="1" applyBorder="1" applyAlignment="1">
      <alignment horizontal="center" vertical="center" wrapText="1" readingOrder="1"/>
    </xf>
    <xf numFmtId="165" fontId="8" fillId="5" borderId="14" xfId="0" applyNumberFormat="1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vertical="center" wrapText="1" readingOrder="1"/>
    </xf>
    <xf numFmtId="0" fontId="4" fillId="5" borderId="16" xfId="0" applyFont="1" applyFill="1" applyBorder="1" applyAlignment="1">
      <alignment horizontal="left" vertical="center" wrapText="1" readingOrder="1"/>
    </xf>
    <xf numFmtId="165" fontId="6" fillId="5" borderId="13" xfId="0" applyNumberFormat="1" applyFont="1" applyFill="1" applyBorder="1" applyAlignment="1">
      <alignment horizontal="center" vertical="center" wrapText="1" readingOrder="1"/>
    </xf>
    <xf numFmtId="165" fontId="8" fillId="5" borderId="1" xfId="0" applyNumberFormat="1" applyFont="1" applyFill="1" applyBorder="1" applyAlignment="1">
      <alignment horizontal="center" vertical="center" wrapText="1" readingOrder="1"/>
    </xf>
    <xf numFmtId="165" fontId="8" fillId="5" borderId="16" xfId="0" applyNumberFormat="1" applyFont="1" applyFill="1" applyBorder="1" applyAlignment="1">
      <alignment horizontal="center" vertical="center" wrapText="1" readingOrder="1"/>
    </xf>
    <xf numFmtId="165" fontId="8" fillId="5" borderId="10" xfId="0" applyNumberFormat="1" applyFont="1" applyFill="1" applyBorder="1" applyAlignment="1">
      <alignment horizontal="center" vertical="center" wrapText="1" readingOrder="1"/>
    </xf>
    <xf numFmtId="165" fontId="6" fillId="5" borderId="10" xfId="0" applyNumberFormat="1" applyFont="1" applyFill="1" applyBorder="1" applyAlignment="1">
      <alignment horizontal="center" vertical="center" wrapText="1" readingOrder="1"/>
    </xf>
    <xf numFmtId="165" fontId="6" fillId="5" borderId="1" xfId="0" applyNumberFormat="1" applyFont="1" applyFill="1" applyBorder="1" applyAlignment="1">
      <alignment horizontal="center" vertical="center" wrapText="1" readingOrder="1"/>
    </xf>
    <xf numFmtId="165" fontId="6" fillId="5" borderId="16" xfId="0" applyNumberFormat="1" applyFont="1" applyFill="1" applyBorder="1" applyAlignment="1">
      <alignment horizontal="center" vertical="center" wrapText="1" readingOrder="1"/>
    </xf>
    <xf numFmtId="165" fontId="3" fillId="2" borderId="25" xfId="0" applyNumberFormat="1" applyFont="1" applyFill="1" applyBorder="1" applyAlignment="1">
      <alignment horizontal="center" vertical="center" wrapText="1" readingOrder="1"/>
    </xf>
    <xf numFmtId="165" fontId="3" fillId="2" borderId="26" xfId="0" applyNumberFormat="1" applyFont="1" applyFill="1" applyBorder="1" applyAlignment="1">
      <alignment horizontal="center" vertical="center" wrapText="1" readingOrder="1"/>
    </xf>
    <xf numFmtId="165" fontId="3" fillId="2" borderId="27" xfId="0" applyNumberFormat="1" applyFont="1" applyFill="1" applyBorder="1" applyAlignment="1">
      <alignment horizontal="center" vertical="center" wrapText="1" readingOrder="1"/>
    </xf>
    <xf numFmtId="165" fontId="3" fillId="2" borderId="28" xfId="0" applyNumberFormat="1" applyFont="1" applyFill="1" applyBorder="1" applyAlignment="1">
      <alignment horizontal="center" vertical="center" wrapText="1" readingOrder="1"/>
    </xf>
    <xf numFmtId="165" fontId="3" fillId="2" borderId="29" xfId="0" applyNumberFormat="1" applyFont="1" applyFill="1" applyBorder="1" applyAlignment="1">
      <alignment horizontal="center" vertical="center" wrapText="1" readingOrder="1"/>
    </xf>
    <xf numFmtId="165" fontId="9" fillId="2" borderId="29" xfId="0" applyNumberFormat="1" applyFont="1" applyFill="1" applyBorder="1" applyAlignment="1">
      <alignment horizontal="center" vertical="center" wrapText="1" readingOrder="1"/>
    </xf>
    <xf numFmtId="165" fontId="3" fillId="2" borderId="30" xfId="0" applyNumberFormat="1" applyFont="1" applyFill="1" applyBorder="1" applyAlignment="1">
      <alignment horizontal="center" vertical="center" wrapText="1" readingOrder="1"/>
    </xf>
    <xf numFmtId="165" fontId="3" fillId="2" borderId="31" xfId="0" applyNumberFormat="1" applyFont="1" applyFill="1" applyBorder="1" applyAlignment="1">
      <alignment horizontal="center" vertical="center" wrapText="1" readingOrder="1"/>
    </xf>
    <xf numFmtId="165" fontId="3" fillId="2" borderId="32" xfId="0" applyNumberFormat="1" applyFont="1" applyFill="1" applyBorder="1" applyAlignment="1">
      <alignment horizontal="center" vertical="center" wrapText="1" readingOrder="1"/>
    </xf>
    <xf numFmtId="165" fontId="9" fillId="2" borderId="31" xfId="0" applyNumberFormat="1" applyFont="1" applyFill="1" applyBorder="1" applyAlignment="1">
      <alignment horizontal="center" vertical="center" wrapText="1" readingOrder="1"/>
    </xf>
    <xf numFmtId="165" fontId="3" fillId="2" borderId="33" xfId="0" applyNumberFormat="1" applyFont="1" applyFill="1" applyBorder="1" applyAlignment="1">
      <alignment horizontal="center" vertical="center" wrapText="1" readingOrder="1"/>
    </xf>
    <xf numFmtId="165" fontId="3" fillId="2" borderId="34" xfId="0" applyNumberFormat="1" applyFont="1" applyFill="1" applyBorder="1" applyAlignment="1">
      <alignment horizontal="center" vertical="center" wrapText="1" readingOrder="1"/>
    </xf>
    <xf numFmtId="165" fontId="9" fillId="2" borderId="34" xfId="0" applyNumberFormat="1" applyFont="1" applyFill="1" applyBorder="1" applyAlignment="1">
      <alignment horizontal="center" vertical="center" wrapText="1" readingOrder="1"/>
    </xf>
    <xf numFmtId="165" fontId="7" fillId="2" borderId="16" xfId="0" applyNumberFormat="1" applyFont="1" applyFill="1" applyBorder="1" applyAlignment="1">
      <alignment horizontal="center" vertical="center" wrapText="1" readingOrder="1"/>
    </xf>
    <xf numFmtId="165" fontId="1" fillId="2" borderId="1" xfId="0" applyNumberFormat="1" applyFont="1" applyFill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 wrapText="1" readingOrder="1"/>
    </xf>
    <xf numFmtId="0" fontId="5" fillId="2" borderId="30" xfId="0" applyFont="1" applyFill="1" applyBorder="1" applyAlignment="1">
      <alignment horizontal="left" vertical="center" wrapText="1" indent="1" readingOrder="1"/>
    </xf>
    <xf numFmtId="0" fontId="5" fillId="2" borderId="31" xfId="0" applyFont="1" applyFill="1" applyBorder="1" applyAlignment="1">
      <alignment horizontal="left" vertical="center" wrapText="1" indent="1" readingOrder="1"/>
    </xf>
    <xf numFmtId="0" fontId="3" fillId="2" borderId="32" xfId="0" applyFont="1" applyFill="1" applyBorder="1" applyAlignment="1">
      <alignment horizontal="left" vertical="center" wrapText="1" indent="1" readingOrder="1"/>
    </xf>
    <xf numFmtId="0" fontId="9" fillId="2" borderId="31" xfId="0" applyFont="1" applyFill="1" applyBorder="1" applyAlignment="1">
      <alignment horizontal="left" vertical="center" wrapText="1" indent="1" readingOrder="1"/>
    </xf>
    <xf numFmtId="0" fontId="3" fillId="2" borderId="31" xfId="0" applyFont="1" applyFill="1" applyBorder="1" applyAlignment="1">
      <alignment horizontal="left" vertical="center" wrapText="1" indent="1" readingOrder="1"/>
    </xf>
    <xf numFmtId="0" fontId="5" fillId="2" borderId="33" xfId="0" applyFont="1" applyFill="1" applyBorder="1" applyAlignment="1">
      <alignment horizontal="left" vertical="center" wrapText="1" indent="1" readingOrder="1"/>
    </xf>
    <xf numFmtId="0" fontId="3" fillId="2" borderId="34" xfId="0" applyFont="1" applyFill="1" applyBorder="1" applyAlignment="1">
      <alignment horizontal="left" vertical="center" wrapText="1" indent="1" readingOrder="1"/>
    </xf>
    <xf numFmtId="0" fontId="9" fillId="2" borderId="34" xfId="0" applyFont="1" applyFill="1" applyBorder="1" applyAlignment="1">
      <alignment horizontal="left" vertical="center" wrapText="1" indent="1" readingOrder="1"/>
    </xf>
    <xf numFmtId="0" fontId="5" fillId="2" borderId="35" xfId="0" applyFont="1" applyFill="1" applyBorder="1" applyAlignment="1">
      <alignment horizontal="left" vertical="center" wrapText="1" indent="1" readingOrder="1"/>
    </xf>
    <xf numFmtId="165" fontId="7" fillId="2" borderId="14" xfId="0" applyNumberFormat="1" applyFont="1" applyFill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left" vertical="center" wrapText="1" indent="1" readingOrder="1"/>
    </xf>
    <xf numFmtId="165" fontId="9" fillId="2" borderId="33" xfId="0" applyNumberFormat="1" applyFont="1" applyFill="1" applyBorder="1" applyAlignment="1">
      <alignment horizontal="center" vertical="center" wrapText="1" readingOrder="1"/>
    </xf>
    <xf numFmtId="165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3" fillId="2" borderId="33" xfId="0" applyFont="1" applyFill="1" applyBorder="1" applyAlignment="1">
      <alignment horizontal="left" vertical="center" wrapText="1" indent="1" readingOrder="1"/>
    </xf>
    <xf numFmtId="165" fontId="6" fillId="2" borderId="33" xfId="0" applyNumberFormat="1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vertical="center"/>
    </xf>
    <xf numFmtId="165" fontId="6" fillId="2" borderId="34" xfId="0" applyNumberFormat="1" applyFont="1" applyFill="1" applyBorder="1" applyAlignment="1">
      <alignment horizontal="center" vertical="center" wrapText="1" readingOrder="1"/>
    </xf>
    <xf numFmtId="165" fontId="9" fillId="2" borderId="37" xfId="0" applyNumberFormat="1" applyFont="1" applyFill="1" applyBorder="1" applyAlignment="1">
      <alignment horizontal="center" vertical="center" wrapText="1" readingOrder="1"/>
    </xf>
    <xf numFmtId="165" fontId="9" fillId="2" borderId="38" xfId="0" applyNumberFormat="1" applyFont="1" applyFill="1" applyBorder="1" applyAlignment="1">
      <alignment horizontal="center" vertical="center" wrapText="1" readingOrder="1"/>
    </xf>
    <xf numFmtId="165" fontId="3" fillId="2" borderId="37" xfId="0" applyNumberFormat="1" applyFont="1" applyFill="1" applyBorder="1" applyAlignment="1">
      <alignment horizontal="center" vertical="center" wrapText="1" readingOrder="1"/>
    </xf>
    <xf numFmtId="165" fontId="3" fillId="2" borderId="39" xfId="0" applyNumberFormat="1" applyFont="1" applyFill="1" applyBorder="1" applyAlignment="1">
      <alignment horizontal="center" vertical="center" wrapText="1" readingOrder="1"/>
    </xf>
    <xf numFmtId="165" fontId="3" fillId="5" borderId="10" xfId="0" applyNumberFormat="1" applyFont="1" applyFill="1" applyBorder="1" applyAlignment="1">
      <alignment horizontal="center" vertical="center" wrapText="1" readingOrder="1"/>
    </xf>
    <xf numFmtId="165" fontId="3" fillId="5" borderId="1" xfId="0" applyNumberFormat="1" applyFont="1" applyFill="1" applyBorder="1" applyAlignment="1">
      <alignment horizontal="center" vertical="center" wrapText="1" readingOrder="1"/>
    </xf>
    <xf numFmtId="165" fontId="3" fillId="5" borderId="16" xfId="0" applyNumberFormat="1" applyFont="1" applyFill="1" applyBorder="1" applyAlignment="1">
      <alignment horizontal="center" vertical="center" wrapText="1" readingOrder="1"/>
    </xf>
    <xf numFmtId="165" fontId="3" fillId="2" borderId="16" xfId="0" applyNumberFormat="1" applyFont="1" applyFill="1" applyBorder="1" applyAlignment="1">
      <alignment horizontal="center" vertical="center" wrapText="1" readingOrder="1"/>
    </xf>
    <xf numFmtId="165" fontId="8" fillId="2" borderId="1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 wrapText="1" readingOrder="1"/>
    </xf>
    <xf numFmtId="165" fontId="3" fillId="5" borderId="13" xfId="0" applyNumberFormat="1" applyFont="1" applyFill="1" applyBorder="1" applyAlignment="1">
      <alignment horizontal="center" vertical="center" wrapText="1" readingOrder="1"/>
    </xf>
    <xf numFmtId="0" fontId="4" fillId="3" borderId="41" xfId="0" applyFont="1" applyFill="1" applyBorder="1" applyAlignment="1">
      <alignment horizontal="center" vertical="center" wrapText="1" readingOrder="1"/>
    </xf>
    <xf numFmtId="0" fontId="4" fillId="3" borderId="42" xfId="0" applyFont="1" applyFill="1" applyBorder="1" applyAlignment="1">
      <alignment horizontal="center" vertical="center" wrapText="1" readingOrder="1"/>
    </xf>
    <xf numFmtId="165" fontId="6" fillId="0" borderId="0" xfId="0" applyNumberFormat="1" applyFont="1" applyAlignment="1">
      <alignment horizontal="center" vertical="center" wrapText="1"/>
    </xf>
    <xf numFmtId="0" fontId="5" fillId="2" borderId="23" xfId="0" applyFont="1" applyFill="1" applyBorder="1" applyAlignment="1">
      <alignment horizontal="left" vertical="center" wrapText="1" readingOrder="1"/>
    </xf>
    <xf numFmtId="0" fontId="5" fillId="2" borderId="7" xfId="0" applyFont="1" applyFill="1" applyBorder="1" applyAlignment="1">
      <alignment horizontal="left" vertical="center" wrapText="1" readingOrder="1"/>
    </xf>
    <xf numFmtId="0" fontId="5" fillId="2" borderId="24" xfId="0" applyFont="1" applyFill="1" applyBorder="1" applyAlignment="1">
      <alignment horizontal="left" vertical="center" wrapText="1" readingOrder="1"/>
    </xf>
    <xf numFmtId="0" fontId="5" fillId="2" borderId="19" xfId="0" applyFont="1" applyFill="1" applyBorder="1" applyAlignment="1">
      <alignment horizontal="left" vertical="center" wrapText="1" readingOrder="1"/>
    </xf>
    <xf numFmtId="0" fontId="3" fillId="2" borderId="24" xfId="0" applyFont="1" applyFill="1" applyBorder="1" applyAlignment="1">
      <alignment horizontal="left" vertical="center" wrapText="1" readingOrder="1"/>
    </xf>
    <xf numFmtId="0" fontId="3" fillId="2" borderId="19" xfId="0" applyFont="1" applyFill="1" applyBorder="1" applyAlignment="1">
      <alignment horizontal="left" vertical="center" wrapText="1" readingOrder="1"/>
    </xf>
    <xf numFmtId="0" fontId="5" fillId="2" borderId="22" xfId="0" applyFont="1" applyFill="1" applyBorder="1" applyAlignment="1">
      <alignment horizontal="left" vertical="center" wrapText="1" readingOrder="1"/>
    </xf>
    <xf numFmtId="0" fontId="5" fillId="2" borderId="8" xfId="0" applyFont="1" applyFill="1" applyBorder="1" applyAlignment="1">
      <alignment horizontal="left" vertical="center" wrapText="1" readingOrder="1"/>
    </xf>
    <xf numFmtId="0" fontId="5" fillId="2" borderId="20" xfId="0" applyFont="1" applyFill="1" applyBorder="1" applyAlignment="1">
      <alignment horizontal="left" vertical="center" wrapText="1" readingOrder="1"/>
    </xf>
    <xf numFmtId="0" fontId="5" fillId="2" borderId="18" xfId="0" applyFont="1" applyFill="1" applyBorder="1" applyAlignment="1">
      <alignment horizontal="left" vertical="center" wrapText="1" readingOrder="1"/>
    </xf>
    <xf numFmtId="0" fontId="5" fillId="2" borderId="21" xfId="0" applyFont="1" applyFill="1" applyBorder="1" applyAlignment="1">
      <alignment horizontal="left" vertical="center" wrapText="1" readingOrder="1"/>
    </xf>
    <xf numFmtId="0" fontId="5" fillId="2" borderId="15" xfId="0" applyFont="1" applyFill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4" fillId="5" borderId="6" xfId="0" applyFont="1" applyFill="1" applyBorder="1" applyAlignment="1">
      <alignment horizontal="left" vertical="center" wrapText="1" readingOrder="1"/>
    </xf>
    <xf numFmtId="0" fontId="9" fillId="2" borderId="21" xfId="0" applyFont="1" applyFill="1" applyBorder="1" applyAlignment="1">
      <alignment horizontal="left" vertical="center" wrapText="1" readingOrder="1"/>
    </xf>
    <xf numFmtId="0" fontId="9" fillId="2" borderId="15" xfId="0" applyFont="1" applyFill="1" applyBorder="1" applyAlignment="1">
      <alignment horizontal="left" vertical="center" wrapText="1" readingOrder="1"/>
    </xf>
    <xf numFmtId="0" fontId="3" fillId="2" borderId="21" xfId="0" applyFont="1" applyFill="1" applyBorder="1" applyAlignment="1">
      <alignment horizontal="left" vertical="center" wrapText="1" readingOrder="1"/>
    </xf>
    <xf numFmtId="0" fontId="3" fillId="2" borderId="15" xfId="0" applyFont="1" applyFill="1" applyBorder="1" applyAlignment="1">
      <alignment horizontal="left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35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4" fillId="4" borderId="40" xfId="0" applyFont="1" applyFill="1" applyBorder="1" applyAlignment="1">
      <alignment horizontal="center" vertical="center" wrapText="1" readingOrder="1"/>
    </xf>
    <xf numFmtId="0" fontId="4" fillId="4" borderId="43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7" fillId="2" borderId="36" xfId="0" applyFont="1" applyFill="1" applyBorder="1" applyAlignment="1">
      <alignment horizontal="left" vertical="center" wrapText="1" readingOrder="1"/>
    </xf>
    <xf numFmtId="0" fontId="7" fillId="2" borderId="11" xfId="0" applyFont="1" applyFill="1" applyBorder="1" applyAlignment="1">
      <alignment horizontal="left" vertical="center" wrapText="1" readingOrder="1"/>
    </xf>
    <xf numFmtId="0" fontId="4" fillId="5" borderId="0" xfId="0" applyFont="1" applyFill="1" applyBorder="1" applyAlignment="1">
      <alignment horizontal="left" vertical="center" wrapText="1" readingOrder="1"/>
    </xf>
    <xf numFmtId="0" fontId="4" fillId="5" borderId="17" xfId="0" applyFont="1" applyFill="1" applyBorder="1" applyAlignment="1">
      <alignment horizontal="left" vertical="center" wrapText="1" readingOrder="1"/>
    </xf>
    <xf numFmtId="0" fontId="9" fillId="2" borderId="23" xfId="0" applyFont="1" applyFill="1" applyBorder="1" applyAlignment="1">
      <alignment horizontal="left" vertical="center" wrapText="1" readingOrder="1"/>
    </xf>
    <xf numFmtId="0" fontId="9" fillId="2" borderId="7" xfId="0" applyFont="1" applyFill="1" applyBorder="1" applyAlignment="1">
      <alignment horizontal="left" vertical="center" wrapText="1" readingOrder="1"/>
    </xf>
    <xf numFmtId="0" fontId="3" fillId="2" borderId="23" xfId="0" applyFont="1" applyFill="1" applyBorder="1" applyAlignment="1">
      <alignment horizontal="left" vertical="center" wrapText="1" readingOrder="1"/>
    </xf>
    <xf numFmtId="0" fontId="3" fillId="2" borderId="7" xfId="0" applyFont="1" applyFill="1" applyBorder="1" applyAlignment="1">
      <alignment horizontal="left" vertical="center" wrapText="1" readingOrder="1"/>
    </xf>
    <xf numFmtId="0" fontId="9" fillId="2" borderId="24" xfId="0" applyFont="1" applyFill="1" applyBorder="1" applyAlignment="1">
      <alignment horizontal="left" vertical="center" wrapText="1" readingOrder="1"/>
    </xf>
    <xf numFmtId="0" fontId="9" fillId="2" borderId="19" xfId="0" applyFont="1" applyFill="1" applyBorder="1" applyAlignment="1">
      <alignment horizontal="left" vertical="center" wrapText="1" readingOrder="1"/>
    </xf>
    <xf numFmtId="0" fontId="5" fillId="2" borderId="36" xfId="0" applyFont="1" applyFill="1" applyBorder="1" applyAlignment="1">
      <alignment horizontal="left" vertical="center" wrapText="1" readingOrder="1"/>
    </xf>
    <xf numFmtId="0" fontId="5" fillId="2" borderId="11" xfId="0" applyFont="1" applyFill="1" applyBorder="1" applyAlignment="1">
      <alignment horizontal="left" vertical="center" wrapText="1" readingOrder="1"/>
    </xf>
    <xf numFmtId="0" fontId="4" fillId="5" borderId="12" xfId="0" applyFont="1" applyFill="1" applyBorder="1" applyAlignment="1">
      <alignment horizontal="left" vertical="center" wrapText="1" readingOrder="1"/>
    </xf>
    <xf numFmtId="0" fontId="4" fillId="5" borderId="4" xfId="0" applyFont="1" applyFill="1" applyBorder="1" applyAlignment="1">
      <alignment horizontal="left" vertical="center" wrapText="1" readingOrder="1"/>
    </xf>
  </cellXfs>
  <cellStyles count="1">
    <cellStyle name="Обычный" xfId="0" builtinId="0"/>
  </cellStyles>
  <dxfs count="0"/>
  <tableStyles count="2" defaultTableStyle="Стиль таблицы 2" defaultPivotStyle="PivotStyleLight16">
    <tableStyle name="Стиль таблицы 1" pivot="0" count="0" xr9:uid="{4A710FBC-D31A-4546-9092-DB4DA01A5764}"/>
    <tableStyle name="Стиль таблицы 2" pivot="0" count="0" xr9:uid="{F373AE23-1318-43EA-BA23-819B6CD44087}"/>
  </tableStyles>
  <colors>
    <mruColors>
      <color rgb="FFF5F5F5"/>
      <color rgb="FFFBFBFB"/>
      <color rgb="FFFFF9E7"/>
      <color rgb="FFFFF7E1"/>
      <color rgb="FFE6E6E6"/>
      <color rgb="FFEEEEEE"/>
      <color rgb="FFECECEC"/>
      <color rgb="FFF8F8F8"/>
      <color rgb="FFFFFF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Бондаренко Людмила Анатольевна" id="{AF771851-0D65-492D-A34E-EF5605397D42}" userId="Бондаренко Людмила Анатольевна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3" dT="2025-10-13T11:57:02.56" personId="{AF771851-0D65-492D-A34E-EF5605397D42}" id="{EB1DC0AB-147A-4237-8B33-0A8A245EE071}">
    <text>$1 998 034 (бюджет на 2025 р.)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6159-F35A-4BFB-ADC2-5D3DECBDC05D}">
  <dimension ref="B1:T39"/>
  <sheetViews>
    <sheetView tabSelected="1" zoomScale="70" zoomScaleNormal="70" workbookViewId="0">
      <selection activeCell="J12" sqref="J12"/>
    </sheetView>
  </sheetViews>
  <sheetFormatPr defaultColWidth="8.6640625" defaultRowHeight="15.6" outlineLevelRow="1" x14ac:dyDescent="0.3"/>
  <cols>
    <col min="1" max="1" width="1.44140625" style="1" customWidth="1"/>
    <col min="2" max="2" width="75.88671875" style="1" customWidth="1"/>
    <col min="3" max="4" width="18.109375" style="1" customWidth="1"/>
    <col min="5" max="5" width="14.109375" style="1" customWidth="1"/>
    <col min="6" max="6" width="57.109375" style="1" customWidth="1"/>
    <col min="7" max="7" width="21.109375" style="1" customWidth="1"/>
    <col min="8" max="8" width="19.6640625" style="57" customWidth="1"/>
    <col min="9" max="9" width="9.6640625" style="1" customWidth="1"/>
    <col min="10" max="10" width="14.33203125" style="1" customWidth="1"/>
    <col min="11" max="17" width="8.6640625" style="1"/>
    <col min="18" max="18" width="14.109375" style="1" bestFit="1" customWidth="1"/>
    <col min="19" max="16384" width="8.6640625" style="1"/>
  </cols>
  <sheetData>
    <row r="1" spans="2:20" ht="49.5" customHeight="1" thickBot="1" x14ac:dyDescent="0.35">
      <c r="B1" s="85" t="s">
        <v>12</v>
      </c>
      <c r="C1" s="85"/>
      <c r="D1" s="85"/>
      <c r="E1" s="85"/>
      <c r="F1" s="85"/>
      <c r="G1" s="85"/>
    </row>
    <row r="2" spans="2:20" ht="16.2" thickBot="1" x14ac:dyDescent="0.35">
      <c r="B2" s="94" t="s">
        <v>8</v>
      </c>
      <c r="C2" s="100" t="s">
        <v>61</v>
      </c>
      <c r="D2" s="101"/>
      <c r="E2" s="102"/>
      <c r="F2" s="96" t="s">
        <v>23</v>
      </c>
      <c r="G2" s="97"/>
    </row>
    <row r="3" spans="2:20" ht="31.95" customHeight="1" thickBot="1" x14ac:dyDescent="0.35">
      <c r="B3" s="95"/>
      <c r="C3" s="70" t="s">
        <v>60</v>
      </c>
      <c r="D3" s="70" t="s">
        <v>62</v>
      </c>
      <c r="E3" s="71" t="s">
        <v>63</v>
      </c>
      <c r="F3" s="98"/>
      <c r="G3" s="99"/>
    </row>
    <row r="4" spans="2:20" ht="39.9" customHeight="1" thickBot="1" x14ac:dyDescent="0.35">
      <c r="B4" s="9" t="s">
        <v>28</v>
      </c>
      <c r="C4" s="19">
        <f>SUM(C5:C7)</f>
        <v>179000</v>
      </c>
      <c r="D4" s="19">
        <f>SUM(D5:D7)</f>
        <v>125905.65731559854</v>
      </c>
      <c r="E4" s="11">
        <f>SUM(E5:E7)</f>
        <v>179000</v>
      </c>
      <c r="F4" s="86" t="s">
        <v>1</v>
      </c>
      <c r="G4" s="87"/>
    </row>
    <row r="5" spans="2:20" ht="39.9" customHeight="1" outlineLevel="1" x14ac:dyDescent="0.3">
      <c r="B5" s="41" t="s">
        <v>39</v>
      </c>
      <c r="C5" s="31">
        <v>88000</v>
      </c>
      <c r="D5" s="31">
        <f>(2088734.52)/41.35</f>
        <v>50513.531318016925</v>
      </c>
      <c r="E5" s="25">
        <v>88000</v>
      </c>
      <c r="F5" s="81" t="s">
        <v>13</v>
      </c>
      <c r="G5" s="82"/>
      <c r="H5" s="53"/>
      <c r="J5" s="72"/>
    </row>
    <row r="6" spans="2:20" ht="39.9" customHeight="1" outlineLevel="1" x14ac:dyDescent="0.3">
      <c r="B6" s="42" t="s">
        <v>40</v>
      </c>
      <c r="C6" s="32">
        <v>30000</v>
      </c>
      <c r="D6" s="32">
        <f>(51931.96+50440.51+47452.45+48856.12+49765.64+8380.01+69650.84+67538.24+51292.33+51561.74+52511.63+51561.74)/41.35</f>
        <v>14533.088512696491</v>
      </c>
      <c r="E6" s="26">
        <v>30000</v>
      </c>
      <c r="F6" s="83"/>
      <c r="G6" s="84"/>
      <c r="H6" s="53"/>
      <c r="J6" s="72"/>
    </row>
    <row r="7" spans="2:20" ht="39.9" customHeight="1" outlineLevel="1" thickBot="1" x14ac:dyDescent="0.35">
      <c r="B7" s="43" t="s">
        <v>41</v>
      </c>
      <c r="C7" s="33">
        <v>61000</v>
      </c>
      <c r="D7" s="33">
        <f>(2516521.2)/41.35</f>
        <v>60859.037484885128</v>
      </c>
      <c r="E7" s="27">
        <v>61000</v>
      </c>
      <c r="F7" s="79" t="s">
        <v>15</v>
      </c>
      <c r="G7" s="80"/>
      <c r="H7" s="53"/>
      <c r="J7" s="72"/>
    </row>
    <row r="8" spans="2:20" ht="50.25" customHeight="1" thickBot="1" x14ac:dyDescent="0.35">
      <c r="B8" s="17" t="s">
        <v>29</v>
      </c>
      <c r="C8" s="20">
        <f>SUM(C9:C14)</f>
        <v>749000</v>
      </c>
      <c r="D8" s="20">
        <f>SUM(D9:D14)</f>
        <v>718078.97865082859</v>
      </c>
      <c r="E8" s="15">
        <f>SUM(E9:E14)</f>
        <v>1004000</v>
      </c>
      <c r="F8" s="105" t="s">
        <v>0</v>
      </c>
      <c r="G8" s="106"/>
      <c r="H8" s="53"/>
      <c r="J8" s="72"/>
    </row>
    <row r="9" spans="2:20" s="54" customFormat="1" ht="39.9" customHeight="1" outlineLevel="1" x14ac:dyDescent="0.3">
      <c r="B9" s="51" t="s">
        <v>42</v>
      </c>
      <c r="C9" s="52"/>
      <c r="D9" s="68"/>
      <c r="E9" s="60">
        <f>371000</f>
        <v>371000</v>
      </c>
      <c r="F9" s="107" t="s">
        <v>55</v>
      </c>
      <c r="G9" s="108"/>
      <c r="H9" s="53"/>
      <c r="J9" s="72"/>
    </row>
    <row r="10" spans="2:20" ht="39.9" customHeight="1" outlineLevel="1" x14ac:dyDescent="0.3">
      <c r="B10" s="44" t="s">
        <v>43</v>
      </c>
      <c r="C10" s="34">
        <f>122000+17000+21000+13200</f>
        <v>173200</v>
      </c>
      <c r="D10" s="26">
        <f>(189990+199680+135300+199680+135300+4466388.24+199680+135300+199680+135300)/41.35</f>
        <v>145013.2585247884</v>
      </c>
      <c r="E10" s="59"/>
      <c r="F10" s="90" t="s">
        <v>27</v>
      </c>
      <c r="G10" s="91"/>
      <c r="H10" s="53"/>
      <c r="J10" s="72"/>
    </row>
    <row r="11" spans="2:20" ht="39.9" customHeight="1" outlineLevel="1" x14ac:dyDescent="0.3">
      <c r="B11" s="44" t="s">
        <v>44</v>
      </c>
      <c r="C11" s="34">
        <v>2100</v>
      </c>
      <c r="D11" s="26">
        <f>(82969.99)/41.35</f>
        <v>2006.5293833131802</v>
      </c>
      <c r="E11" s="59">
        <v>2800</v>
      </c>
      <c r="F11" s="90" t="s">
        <v>14</v>
      </c>
      <c r="G11" s="91"/>
      <c r="H11" s="53"/>
      <c r="J11" s="72"/>
    </row>
    <row r="12" spans="2:20" ht="39.9" customHeight="1" outlineLevel="1" x14ac:dyDescent="0.3">
      <c r="B12" s="44" t="s">
        <v>45</v>
      </c>
      <c r="C12" s="34">
        <f>542500+24000</f>
        <v>566500</v>
      </c>
      <c r="D12" s="26">
        <f>(505521.29+4700899.88+18803599.52)/42.5</f>
        <v>564941.66329411755</v>
      </c>
      <c r="E12" s="59">
        <v>586000</v>
      </c>
      <c r="F12" s="90" t="s">
        <v>25</v>
      </c>
      <c r="G12" s="91"/>
      <c r="H12" s="53"/>
      <c r="J12" s="72"/>
    </row>
    <row r="13" spans="2:20" s="4" customFormat="1" ht="39.9" customHeight="1" outlineLevel="1" x14ac:dyDescent="0.3">
      <c r="B13" s="45" t="s">
        <v>46</v>
      </c>
      <c r="C13" s="32"/>
      <c r="D13" s="26"/>
      <c r="E13" s="61">
        <v>37000</v>
      </c>
      <c r="F13" s="92" t="s">
        <v>26</v>
      </c>
      <c r="G13" s="93"/>
      <c r="H13" s="53"/>
      <c r="J13" s="72"/>
    </row>
    <row r="14" spans="2:20" s="4" customFormat="1" ht="39.9" customHeight="1" outlineLevel="1" thickBot="1" x14ac:dyDescent="0.35">
      <c r="B14" s="43" t="s">
        <v>47</v>
      </c>
      <c r="C14" s="33">
        <v>7200</v>
      </c>
      <c r="D14" s="27">
        <f>(63239.94+63239.94+63239.94+63239.94)/41.35</f>
        <v>6117.5274486094313</v>
      </c>
      <c r="E14" s="62">
        <v>7200</v>
      </c>
      <c r="F14" s="79" t="s">
        <v>24</v>
      </c>
      <c r="G14" s="80"/>
      <c r="H14" s="53"/>
      <c r="J14" s="72"/>
      <c r="Q14" s="1"/>
      <c r="R14" s="1"/>
      <c r="S14" s="1"/>
      <c r="T14" s="1"/>
    </row>
    <row r="15" spans="2:20" ht="39.9" customHeight="1" thickBot="1" x14ac:dyDescent="0.35">
      <c r="B15" s="16" t="s">
        <v>30</v>
      </c>
      <c r="C15" s="21">
        <f>SUM(C16:C17)</f>
        <v>69000</v>
      </c>
      <c r="D15" s="21">
        <f>SUM(D16:D17)</f>
        <v>60885.898911729149</v>
      </c>
      <c r="E15" s="12">
        <f>SUM(E16:E17)</f>
        <v>69000</v>
      </c>
      <c r="F15" s="88" t="s">
        <v>11</v>
      </c>
      <c r="G15" s="89"/>
      <c r="J15" s="72"/>
    </row>
    <row r="16" spans="2:20" ht="49.2" customHeight="1" outlineLevel="1" x14ac:dyDescent="0.3">
      <c r="B16" s="46" t="s">
        <v>48</v>
      </c>
      <c r="C16" s="35">
        <v>20000</v>
      </c>
      <c r="D16" s="28">
        <f>(551892)/41.35</f>
        <v>13346.844014510278</v>
      </c>
      <c r="E16" s="28">
        <v>20000</v>
      </c>
      <c r="F16" s="73" t="s">
        <v>16</v>
      </c>
      <c r="G16" s="74"/>
      <c r="H16" s="53"/>
      <c r="J16" s="72"/>
    </row>
    <row r="17" spans="2:15" ht="39.9" customHeight="1" outlineLevel="1" thickBot="1" x14ac:dyDescent="0.35">
      <c r="B17" s="47" t="s">
        <v>49</v>
      </c>
      <c r="C17" s="36">
        <v>49000</v>
      </c>
      <c r="D17" s="29">
        <f>(1623631.8+193234.98+45909.36+51702.54+25630.62+25630.62)/41.35</f>
        <v>47539.05489721887</v>
      </c>
      <c r="E17" s="29">
        <v>49000</v>
      </c>
      <c r="F17" s="75" t="s">
        <v>19</v>
      </c>
      <c r="G17" s="76"/>
      <c r="H17" s="53"/>
      <c r="J17" s="72"/>
    </row>
    <row r="18" spans="2:15" ht="39.9" customHeight="1" thickBot="1" x14ac:dyDescent="0.35">
      <c r="B18" s="8" t="s">
        <v>31</v>
      </c>
      <c r="C18" s="22"/>
      <c r="D18" s="69"/>
      <c r="E18" s="18"/>
      <c r="F18" s="88" t="s">
        <v>5</v>
      </c>
      <c r="G18" s="89"/>
      <c r="J18" s="72"/>
    </row>
    <row r="19" spans="2:15" ht="39.9" customHeight="1" thickBot="1" x14ac:dyDescent="0.35">
      <c r="B19" s="8" t="s">
        <v>32</v>
      </c>
      <c r="C19" s="22"/>
      <c r="D19" s="69"/>
      <c r="E19" s="12">
        <f>SUM(E20:E21)</f>
        <v>840000</v>
      </c>
      <c r="F19" s="88" t="s">
        <v>0</v>
      </c>
      <c r="G19" s="89"/>
      <c r="J19" s="72"/>
    </row>
    <row r="20" spans="2:15" s="54" customFormat="1" ht="39.9" customHeight="1" outlineLevel="1" x14ac:dyDescent="0.3">
      <c r="B20" s="55" t="s">
        <v>50</v>
      </c>
      <c r="C20" s="56"/>
      <c r="D20" s="28"/>
      <c r="E20" s="28">
        <v>220000</v>
      </c>
      <c r="F20" s="109" t="s">
        <v>20</v>
      </c>
      <c r="G20" s="110"/>
      <c r="H20" s="53"/>
      <c r="I20" s="57"/>
      <c r="J20" s="72"/>
    </row>
    <row r="21" spans="2:15" s="54" customFormat="1" ht="39.9" customHeight="1" outlineLevel="1" thickBot="1" x14ac:dyDescent="0.35">
      <c r="B21" s="47" t="s">
        <v>51</v>
      </c>
      <c r="C21" s="58"/>
      <c r="D21" s="27"/>
      <c r="E21" s="29">
        <v>620000</v>
      </c>
      <c r="F21" s="77" t="s">
        <v>21</v>
      </c>
      <c r="G21" s="78"/>
      <c r="H21" s="53"/>
      <c r="I21" s="57"/>
      <c r="J21" s="72"/>
    </row>
    <row r="22" spans="2:15" ht="39.9" customHeight="1" thickBot="1" x14ac:dyDescent="0.35">
      <c r="B22" s="6" t="s">
        <v>33</v>
      </c>
      <c r="C22" s="23"/>
      <c r="D22" s="64"/>
      <c r="E22" s="14"/>
      <c r="F22" s="115" t="s">
        <v>9</v>
      </c>
      <c r="G22" s="116"/>
      <c r="J22" s="72"/>
      <c r="O22" s="3"/>
    </row>
    <row r="23" spans="2:15" ht="52.95" customHeight="1" thickBot="1" x14ac:dyDescent="0.35">
      <c r="B23" s="17" t="s">
        <v>34</v>
      </c>
      <c r="C23" s="24"/>
      <c r="D23" s="65"/>
      <c r="E23" s="13"/>
      <c r="F23" s="105" t="s">
        <v>6</v>
      </c>
      <c r="G23" s="106"/>
      <c r="J23" s="72"/>
    </row>
    <row r="24" spans="2:15" ht="45.6" customHeight="1" thickBot="1" x14ac:dyDescent="0.35">
      <c r="B24" s="8" t="s">
        <v>35</v>
      </c>
      <c r="C24" s="21">
        <f>SUM(C25:C26)</f>
        <v>25000</v>
      </c>
      <c r="D24" s="21">
        <f>SUM(D25:D26)</f>
        <v>5796.3482466747273</v>
      </c>
      <c r="E24" s="12">
        <f>SUM(E25:E26)</f>
        <v>30000</v>
      </c>
      <c r="F24" s="88" t="s">
        <v>10</v>
      </c>
      <c r="G24" s="89"/>
      <c r="J24" s="72"/>
    </row>
    <row r="25" spans="2:15" ht="39.9" customHeight="1" outlineLevel="1" x14ac:dyDescent="0.3">
      <c r="B25" s="46" t="s">
        <v>52</v>
      </c>
      <c r="C25" s="35">
        <v>20000</v>
      </c>
      <c r="D25" s="35">
        <f>(81000+81000)/41.35</f>
        <v>3917.7750906892379</v>
      </c>
      <c r="E25" s="28">
        <v>20000</v>
      </c>
      <c r="F25" s="73" t="s">
        <v>17</v>
      </c>
      <c r="G25" s="74"/>
      <c r="H25" s="53"/>
      <c r="J25" s="72"/>
    </row>
    <row r="26" spans="2:15" ht="39.9" customHeight="1" outlineLevel="1" thickBot="1" x14ac:dyDescent="0.35">
      <c r="B26" s="48" t="s">
        <v>53</v>
      </c>
      <c r="C26" s="37">
        <v>5000</v>
      </c>
      <c r="D26" s="36">
        <f>(77679)/41.35</f>
        <v>1878.5731559854896</v>
      </c>
      <c r="E26" s="30">
        <v>10000</v>
      </c>
      <c r="F26" s="111" t="s">
        <v>18</v>
      </c>
      <c r="G26" s="112"/>
      <c r="H26" s="53"/>
      <c r="J26" s="72"/>
    </row>
    <row r="27" spans="2:15" ht="39.9" customHeight="1" thickBot="1" x14ac:dyDescent="0.35">
      <c r="B27" s="8" t="s">
        <v>36</v>
      </c>
      <c r="C27" s="22"/>
      <c r="D27" s="63"/>
      <c r="E27" s="18"/>
      <c r="F27" s="88" t="s">
        <v>2</v>
      </c>
      <c r="G27" s="89"/>
      <c r="J27" s="72"/>
    </row>
    <row r="28" spans="2:15" ht="48" customHeight="1" thickBot="1" x14ac:dyDescent="0.35">
      <c r="B28" s="8" t="s">
        <v>37</v>
      </c>
      <c r="C28" s="22"/>
      <c r="D28" s="63"/>
      <c r="E28" s="18"/>
      <c r="F28" s="88" t="s">
        <v>3</v>
      </c>
      <c r="G28" s="89"/>
      <c r="J28" s="72"/>
    </row>
    <row r="29" spans="2:15" ht="39.9" customHeight="1" thickBot="1" x14ac:dyDescent="0.35">
      <c r="B29" s="6" t="s">
        <v>38</v>
      </c>
      <c r="C29" s="23"/>
      <c r="D29" s="64"/>
      <c r="E29" s="11">
        <f>SUM(E30)</f>
        <v>85000</v>
      </c>
      <c r="F29" s="86" t="s">
        <v>7</v>
      </c>
      <c r="G29" s="87"/>
      <c r="J29" s="72"/>
    </row>
    <row r="30" spans="2:15" ht="39.9" customHeight="1" outlineLevel="1" thickBot="1" x14ac:dyDescent="0.35">
      <c r="B30" s="49" t="s">
        <v>54</v>
      </c>
      <c r="C30" s="38"/>
      <c r="D30" s="66"/>
      <c r="E30" s="40">
        <v>85000</v>
      </c>
      <c r="F30" s="113" t="s">
        <v>22</v>
      </c>
      <c r="G30" s="114"/>
      <c r="H30" s="53"/>
      <c r="J30" s="72"/>
    </row>
    <row r="31" spans="2:15" ht="39.9" customHeight="1" thickBot="1" x14ac:dyDescent="0.35">
      <c r="B31" s="6" t="s">
        <v>57</v>
      </c>
      <c r="C31" s="23"/>
      <c r="D31" s="64"/>
      <c r="E31" s="11">
        <f>SUM(E32)</f>
        <v>5000</v>
      </c>
      <c r="F31" s="86" t="s">
        <v>56</v>
      </c>
      <c r="G31" s="87"/>
      <c r="J31" s="72"/>
    </row>
    <row r="32" spans="2:15" ht="39.9" customHeight="1" outlineLevel="1" thickBot="1" x14ac:dyDescent="0.35">
      <c r="B32" s="49" t="s">
        <v>58</v>
      </c>
      <c r="C32" s="38"/>
      <c r="D32" s="66"/>
      <c r="E32" s="50">
        <v>5000</v>
      </c>
      <c r="F32" s="103" t="s">
        <v>59</v>
      </c>
      <c r="G32" s="104"/>
      <c r="H32" s="53"/>
      <c r="J32" s="72"/>
    </row>
    <row r="33" spans="2:10" ht="26.4" customHeight="1" thickBot="1" x14ac:dyDescent="0.35">
      <c r="B33" s="2" t="s">
        <v>4</v>
      </c>
      <c r="C33" s="39">
        <f>C4+C8+C15+C19+C24+C29</f>
        <v>1022000</v>
      </c>
      <c r="D33" s="67">
        <f>D4+D8+D15+D24</f>
        <v>910666.88312483102</v>
      </c>
      <c r="E33" s="10">
        <f>E4+E8+E15+E19+E24+E29+E31</f>
        <v>2212000</v>
      </c>
    </row>
    <row r="34" spans="2:10" x14ac:dyDescent="0.3">
      <c r="E34" s="5"/>
    </row>
    <row r="36" spans="2:10" x14ac:dyDescent="0.3">
      <c r="E36" s="7"/>
      <c r="H36" s="53"/>
      <c r="J36" s="7"/>
    </row>
    <row r="39" spans="2:10" x14ac:dyDescent="0.3">
      <c r="H39" s="53"/>
    </row>
  </sheetData>
  <mergeCells count="32">
    <mergeCell ref="F31:G31"/>
    <mergeCell ref="F32:G32"/>
    <mergeCell ref="F8:G8"/>
    <mergeCell ref="F9:G9"/>
    <mergeCell ref="F7:G7"/>
    <mergeCell ref="F20:G20"/>
    <mergeCell ref="F26:G26"/>
    <mergeCell ref="F29:G29"/>
    <mergeCell ref="F30:G30"/>
    <mergeCell ref="F24:G24"/>
    <mergeCell ref="F27:G27"/>
    <mergeCell ref="F28:G28"/>
    <mergeCell ref="F23:G23"/>
    <mergeCell ref="F18:G18"/>
    <mergeCell ref="F19:G19"/>
    <mergeCell ref="F22:G22"/>
    <mergeCell ref="F5:G6"/>
    <mergeCell ref="B1:G1"/>
    <mergeCell ref="F4:G4"/>
    <mergeCell ref="F15:G15"/>
    <mergeCell ref="F11:G11"/>
    <mergeCell ref="F12:G12"/>
    <mergeCell ref="F13:G13"/>
    <mergeCell ref="F10:G10"/>
    <mergeCell ref="B2:B3"/>
    <mergeCell ref="F2:G3"/>
    <mergeCell ref="C2:E2"/>
    <mergeCell ref="F25:G25"/>
    <mergeCell ref="F17:G17"/>
    <mergeCell ref="F21:G21"/>
    <mergeCell ref="F14:G14"/>
    <mergeCell ref="F16:G16"/>
  </mergeCells>
  <pageMargins left="0" right="0" top="0" bottom="0" header="0.31496062992125984" footer="0.31496062992125984"/>
  <pageSetup paperSize="9" scale="7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73BF2-2987-4994-AE78-F38EFEEC1D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Бюджет ІБ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Nimda</dc:creator>
  <cp:lastModifiedBy>Бондаренко Людмила Анатольевна</cp:lastModifiedBy>
  <cp:lastPrinted>2025-12-24T11:52:41Z</cp:lastPrinted>
  <dcterms:created xsi:type="dcterms:W3CDTF">2015-06-05T18:19:34Z</dcterms:created>
  <dcterms:modified xsi:type="dcterms:W3CDTF">2025-12-24T12:09:42Z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4f42c9-1a83-4f0c-bb9a-0be25598d17b_Enabled">
    <vt:lpwstr>true</vt:lpwstr>
  </property>
  <property fmtid="{D5CDD505-2E9C-101B-9397-08002B2CF9AE}" pid="3" name="MSIP_Label_c64f42c9-1a83-4f0c-bb9a-0be25598d17b_SetDate">
    <vt:lpwstr>2024-10-09T14:12:29Z</vt:lpwstr>
  </property>
  <property fmtid="{D5CDD505-2E9C-101B-9397-08002B2CF9AE}" pid="4" name="MSIP_Label_c64f42c9-1a83-4f0c-bb9a-0be25598d17b_Method">
    <vt:lpwstr>Privileged</vt:lpwstr>
  </property>
  <property fmtid="{D5CDD505-2E9C-101B-9397-08002B2CF9AE}" pid="5" name="MSIP_Label_c64f42c9-1a83-4f0c-bb9a-0be25598d17b_Name">
    <vt:lpwstr>Группы</vt:lpwstr>
  </property>
  <property fmtid="{D5CDD505-2E9C-101B-9397-08002B2CF9AE}" pid="6" name="MSIP_Label_c64f42c9-1a83-4f0c-bb9a-0be25598d17b_SiteId">
    <vt:lpwstr>58c65023-81a1-4a01-9ff3-242d10dbc685</vt:lpwstr>
  </property>
  <property fmtid="{D5CDD505-2E9C-101B-9397-08002B2CF9AE}" pid="7" name="MSIP_Label_c64f42c9-1a83-4f0c-bb9a-0be25598d17b_ActionId">
    <vt:lpwstr>6ac2d129-2633-43da-ab2c-67b05fbecf4e</vt:lpwstr>
  </property>
  <property fmtid="{D5CDD505-2E9C-101B-9397-08002B2CF9AE}" pid="8" name="MSIP_Label_c64f42c9-1a83-4f0c-bb9a-0be25598d17b_ContentBits">
    <vt:lpwstr>0</vt:lpwstr>
  </property>
</Properties>
</file>