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xr:revisionPtr revIDLastSave="0" documentId="8_{84C6D1C5-D327-4A0C-A0ED-0C4EA6874C2A}" xr6:coauthVersionLast="47" xr6:coauthVersionMax="47" xr10:uidLastSave="{00000000-0000-0000-0000-000000000000}"/>
  <bookViews>
    <workbookView xWindow="2400" yWindow="2400" windowWidth="36030" windowHeight="21930" xr2:uid="{00000000-000D-0000-FFFF-FFFF00000000}"/>
  </bookViews>
  <sheets>
    <sheet name="План_Бюджет_ІБ_2025" sheetId="10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10" l="1"/>
  <c r="C16" i="10"/>
  <c r="C17" i="10" s="1"/>
  <c r="F7" i="10"/>
  <c r="F16" i="10" s="1"/>
  <c r="E6" i="10"/>
  <c r="E16" i="10" s="1"/>
  <c r="E17" i="1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Иванов Максим Владимирович</author>
  </authors>
  <commentList>
    <comment ref="F5" authorId="0" shapeId="0" xr:uid="{6565C7C0-E82A-4FB3-995D-2D8371DEBD82}">
      <text>
        <r>
          <rPr>
            <b/>
            <sz val="9"/>
            <color indexed="81"/>
            <rFont val="Tahoma"/>
            <charset val="1"/>
          </rPr>
          <t xml:space="preserve">Иванов Максим Владимирович:
Скидка </t>
        </r>
        <r>
          <rPr>
            <sz val="9"/>
            <color indexed="81"/>
            <rFont val="Tahoma"/>
            <charset val="1"/>
          </rPr>
          <t>190 000$</t>
        </r>
      </text>
    </comment>
  </commentList>
</comments>
</file>

<file path=xl/sharedStrings.xml><?xml version="1.0" encoding="utf-8"?>
<sst xmlns="http://schemas.openxmlformats.org/spreadsheetml/2006/main" count="35" uniqueCount="32">
  <si>
    <t>Зменшення кількості інцидентів ІБ і втрат компанії пов'язаних з кібератаками використовуючи шкідливий код</t>
  </si>
  <si>
    <t>Зменшення впливу інцидентів ІБ на бізнес-процеси і можливі втрати</t>
  </si>
  <si>
    <t>Виявлення та усунення вразливостей у ІТ інфраструктурі компанії, задля унеможливлення їх використання зловмисниками</t>
  </si>
  <si>
    <t>Зменшення кількості інцидентів ІБ і можливих втрат від них за рахунок скорочення часу реагування на події ІБ</t>
  </si>
  <si>
    <t>Зменшення витрат на вирішення наслідків від можливих інцидентів ІБ за рахунок впровадження контролів</t>
  </si>
  <si>
    <t>Зменшення часу комунікації і реагування на інциденти ІБ, операційних втрат у разі набору чи зміни персоналу за рахунок задокументованої бази знань встановлених процесів і практик ІБ</t>
  </si>
  <si>
    <t>Загальна вартість:</t>
  </si>
  <si>
    <t>Завчасне виявлення і реагування на події що потенційно можуть призвести до втрат</t>
  </si>
  <si>
    <t>Захист компанії від кібератак, у яких використовуються різні види шкідливого коду</t>
  </si>
  <si>
    <t>Належний рівень захисту ІТ інфраструктури компанії від атак які використовують недосконалості налаштувань ІС та обладнання</t>
  </si>
  <si>
    <t>Контроль за правами доступу користувачів і захист від несанкціонованого доступу</t>
  </si>
  <si>
    <t>Документування і актуалізація основних завдань функції ІБ та алгоритмів їх виконання</t>
  </si>
  <si>
    <t>Контроль і оновлення налаштувань безпеки ІС і обладнання, що зменшить вірогідність успішної атаки на інфраструктуру компанії</t>
  </si>
  <si>
    <t>Захист від кібератак, спрямованих на компрометацію віддалених робочих місць співробітників, що зменшить кількість інцидентів ІБ і можливих втрат</t>
  </si>
  <si>
    <t>Захист і контроль віддалених робочих місць співробітників групи компаній "АТБ"</t>
  </si>
  <si>
    <t>Очікуваний результат</t>
  </si>
  <si>
    <t>Діагностика процесів інформаційної безпеки</t>
  </si>
  <si>
    <t>Оцінка стану процесів ІБ з урахуванням наданих рекомендацій компанією EY</t>
  </si>
  <si>
    <t>Підвищення кваліфікації співробітників УІБ</t>
  </si>
  <si>
    <t>Ціль</t>
  </si>
  <si>
    <t>Захист ІТ інфраструктури компанії та інформаційних систем на всіх етапах життєвого циклу</t>
  </si>
  <si>
    <t>Контроль дотримання вимог ІБ на всіх етапах життєвого циклу ІС, що забезпечить зменшення інцидентів і витрат на їх вирішення</t>
  </si>
  <si>
    <t>Підвищення ефективності функції ІБ, що забезпечить покращення захисту ІТ інфраструктури компанії від кіберзагроз та зменшить наслідки від можливих інцидентів ІБ</t>
  </si>
  <si>
    <t>Забезпечення доцільними засобами інформаційної безпеки</t>
  </si>
  <si>
    <t>Своєчасне виявлення та реагування на інциденти ІБ, і запобігання подальшому поширенню та зменшити ймовірність повторення</t>
  </si>
  <si>
    <t>Бюджет на 2025 р.</t>
  </si>
  <si>
    <t>План і бюджет управління інформаційної безпеки на 2025 рік</t>
  </si>
  <si>
    <t>Щорічний</t>
  </si>
  <si>
    <t xml:space="preserve">Додатковий </t>
  </si>
  <si>
    <t>Зменшення кількості вразливостей у ІТ-інфраструктурі, що зменшить вектор і вірогідність успішної атаки на компанію</t>
  </si>
  <si>
    <t>Всього:</t>
  </si>
  <si>
    <t>Бюджет на 2024 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</si>
</sst>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$-409]#,##0.00"/>
    <numFmt numFmtId="165" formatCode="[$$-409]#,##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right" vertical="center" wrapText="1"/>
    </xf>
    <xf numFmtId="164" fontId="1" fillId="0" borderId="0" xfId="0" applyNumberFormat="1" applyFont="1" applyAlignment="1">
      <alignment horizontal="center" vertical="center" wrapText="1"/>
    </xf>
    <xf numFmtId="164" fontId="2" fillId="0" borderId="0" xfId="0" applyNumberFormat="1" applyFont="1"/>
    <xf numFmtId="0" fontId="4" fillId="2" borderId="6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4" borderId="6" xfId="0" applyFont="1" applyFill="1" applyBorder="1" applyAlignment="1">
      <alignment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165" fontId="5" fillId="4" borderId="1" xfId="0" applyNumberFormat="1" applyFont="1" applyFill="1" applyBorder="1" applyAlignment="1">
      <alignment horizontal="center" vertical="center" wrapText="1" readingOrder="1"/>
    </xf>
    <xf numFmtId="0" fontId="1" fillId="0" borderId="0" xfId="0" applyFont="1" applyAlignment="1">
      <alignment horizontal="right" vertical="center"/>
    </xf>
    <xf numFmtId="165" fontId="2" fillId="0" borderId="0" xfId="0" applyNumberFormat="1" applyFont="1"/>
    <xf numFmtId="165" fontId="3" fillId="4" borderId="1" xfId="0" applyNumberFormat="1" applyFont="1" applyFill="1" applyBorder="1" applyAlignment="1">
      <alignment horizontal="center" vertical="center" wrapText="1" readingOrder="1"/>
    </xf>
    <xf numFmtId="165" fontId="3" fillId="4" borderId="2" xfId="0" applyNumberFormat="1" applyFont="1" applyFill="1" applyBorder="1" applyAlignment="1">
      <alignment horizontal="center" vertical="center" wrapText="1" readingOrder="1"/>
    </xf>
    <xf numFmtId="165" fontId="1" fillId="0" borderId="12" xfId="0" applyNumberFormat="1" applyFont="1" applyBorder="1" applyAlignment="1">
      <alignment horizontal="center" vertical="center"/>
    </xf>
    <xf numFmtId="165" fontId="1" fillId="0" borderId="13" xfId="0" applyNumberFormat="1" applyFont="1" applyBorder="1" applyAlignment="1">
      <alignment horizontal="center" vertical="center"/>
    </xf>
    <xf numFmtId="165" fontId="1" fillId="0" borderId="14" xfId="0" applyNumberFormat="1" applyFont="1" applyBorder="1" applyAlignment="1">
      <alignment horizontal="center" vertical="center"/>
    </xf>
    <xf numFmtId="165" fontId="1" fillId="0" borderId="16" xfId="0" applyNumberFormat="1" applyFont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 wrapText="1" readingOrder="1"/>
    </xf>
    <xf numFmtId="165" fontId="3" fillId="0" borderId="1" xfId="0" applyNumberFormat="1" applyFont="1" applyBorder="1" applyAlignment="1">
      <alignment horizontal="center" vertical="center" wrapText="1" readingOrder="1"/>
    </xf>
    <xf numFmtId="165" fontId="1" fillId="0" borderId="12" xfId="0" applyNumberFormat="1" applyFont="1" applyBorder="1" applyAlignment="1">
      <alignment horizontal="center" vertical="center"/>
    </xf>
    <xf numFmtId="165" fontId="1" fillId="0" borderId="13" xfId="0" applyNumberFormat="1" applyFont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center" wrapText="1" readingOrder="1"/>
    </xf>
    <xf numFmtId="0" fontId="4" fillId="4" borderId="7" xfId="0" applyFont="1" applyFill="1" applyBorder="1" applyAlignment="1">
      <alignment horizontal="left" vertical="center" wrapText="1" readingOrder="1"/>
    </xf>
    <xf numFmtId="165" fontId="1" fillId="0" borderId="15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0" fontId="4" fillId="3" borderId="5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4" fillId="3" borderId="10" xfId="0" applyFont="1" applyFill="1" applyBorder="1" applyAlignment="1">
      <alignment horizontal="center" vertical="center" wrapText="1" readingOrder="1"/>
    </xf>
  </cellXfs>
  <cellStyles count="1">
    <cellStyle name="Обычный" xfId="0" builtinId="0"/>
  </cellStyles>
  <dxfs count="0"/>
  <tableStyles count="2" defaultTableStyle="Стиль таблицы 2" defaultPivotStyle="PivotStyleLight16">
    <tableStyle name="Стиль таблицы 1" pivot="0" count="0" xr9:uid="{4A710FBC-D31A-4546-9092-DB4DA01A5764}"/>
    <tableStyle name="Стиль таблицы 2" pivot="0" count="0" xr9:uid="{F373AE23-1318-43EA-BA23-819B6CD44087}"/>
  </tableStyles>
  <colors>
    <mruColors>
      <color rgb="FFF5F5F5"/>
      <color rgb="FFFBFBFB"/>
      <color rgb="FFFFF9E7"/>
      <color rgb="FFFFF7E1"/>
      <color rgb="FFE6E6E6"/>
      <color rgb="FFEEEEEE"/>
      <color rgb="FFECECEC"/>
      <color rgb="FFF8F8F8"/>
      <color rgb="FFFFFFFF"/>
      <color rgb="FFF9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7FE98-F80A-4BBD-AA1A-3D368D3467B2}">
  <dimension ref="B1:P24"/>
  <sheetViews>
    <sheetView tabSelected="1" zoomScale="80" zoomScaleNormal="80" workbookViewId="0">
      <selection activeCell="E10" sqref="E10"/>
    </sheetView>
  </sheetViews>
  <sheetFormatPr defaultColWidth="8.6640625" defaultRowHeight="15.6" x14ac:dyDescent="0.3"/>
  <cols>
    <col min="1" max="1" width="1.44140625" style="1" customWidth="1"/>
    <col min="2" max="2" width="75.6640625" style="1" customWidth="1"/>
    <col min="3" max="6" width="14.33203125" style="1" customWidth="1"/>
    <col min="7" max="7" width="57.109375" style="1" customWidth="1"/>
    <col min="8" max="8" width="26.44140625" style="1" customWidth="1"/>
    <col min="9" max="9" width="14.6640625" style="1" customWidth="1"/>
    <col min="10" max="10" width="43.6640625" style="1" customWidth="1"/>
    <col min="11" max="16384" width="8.6640625" style="1"/>
  </cols>
  <sheetData>
    <row r="1" spans="2:16" ht="49.5" customHeight="1" thickBot="1" x14ac:dyDescent="0.35">
      <c r="B1" s="25" t="s">
        <v>26</v>
      </c>
      <c r="C1" s="25"/>
      <c r="D1" s="25"/>
      <c r="E1" s="25"/>
      <c r="F1" s="25"/>
      <c r="G1" s="25"/>
      <c r="H1" s="25"/>
    </row>
    <row r="2" spans="2:16" ht="19.2" customHeight="1" thickBot="1" x14ac:dyDescent="0.35">
      <c r="B2" s="26" t="s">
        <v>19</v>
      </c>
      <c r="C2" s="28" t="s">
        <v>31</v>
      </c>
      <c r="D2" s="29"/>
      <c r="E2" s="28" t="s">
        <v>25</v>
      </c>
      <c r="F2" s="29"/>
      <c r="G2" s="30" t="s">
        <v>15</v>
      </c>
      <c r="H2" s="31"/>
    </row>
    <row r="3" spans="2:16" ht="22.95" customHeight="1" thickBot="1" x14ac:dyDescent="0.35">
      <c r="B3" s="27"/>
      <c r="C3" s="5" t="s">
        <v>27</v>
      </c>
      <c r="D3" s="6" t="s">
        <v>28</v>
      </c>
      <c r="E3" s="5" t="s">
        <v>27</v>
      </c>
      <c r="F3" s="6" t="s">
        <v>28</v>
      </c>
      <c r="G3" s="32"/>
      <c r="H3" s="33"/>
    </row>
    <row r="4" spans="2:16" ht="40.200000000000003" customHeight="1" thickBot="1" x14ac:dyDescent="0.35">
      <c r="B4" s="7" t="s">
        <v>7</v>
      </c>
      <c r="C4" s="9"/>
      <c r="D4" s="9">
        <v>142000</v>
      </c>
      <c r="E4" s="12">
        <v>142000</v>
      </c>
      <c r="F4" s="12"/>
      <c r="G4" s="22" t="s">
        <v>3</v>
      </c>
      <c r="H4" s="23"/>
    </row>
    <row r="5" spans="2:16" ht="40.200000000000003" customHeight="1" thickBot="1" x14ac:dyDescent="0.35">
      <c r="B5" s="8" t="s">
        <v>24</v>
      </c>
      <c r="C5" s="9">
        <v>150000</v>
      </c>
      <c r="D5" s="9">
        <v>235000</v>
      </c>
      <c r="E5" s="9">
        <v>385000</v>
      </c>
      <c r="F5" s="18">
        <v>340000</v>
      </c>
      <c r="G5" s="22" t="s">
        <v>1</v>
      </c>
      <c r="H5" s="23"/>
    </row>
    <row r="6" spans="2:16" ht="40.200000000000003" customHeight="1" thickBot="1" x14ac:dyDescent="0.35">
      <c r="B6" s="8" t="s">
        <v>8</v>
      </c>
      <c r="C6" s="9">
        <v>11000</v>
      </c>
      <c r="D6" s="9">
        <v>50000</v>
      </c>
      <c r="E6" s="9">
        <f>C6+D6</f>
        <v>61000</v>
      </c>
      <c r="F6" s="9"/>
      <c r="G6" s="22" t="s">
        <v>0</v>
      </c>
      <c r="H6" s="23"/>
    </row>
    <row r="7" spans="2:16" ht="40.200000000000003" customHeight="1" thickBot="1" x14ac:dyDescent="0.35">
      <c r="B7" s="7" t="s">
        <v>2</v>
      </c>
      <c r="C7" s="9">
        <v>49000</v>
      </c>
      <c r="D7" s="9">
        <v>18000</v>
      </c>
      <c r="E7" s="9">
        <v>67000</v>
      </c>
      <c r="F7" s="9">
        <f>2000</f>
        <v>2000</v>
      </c>
      <c r="G7" s="22" t="s">
        <v>29</v>
      </c>
      <c r="H7" s="23"/>
    </row>
    <row r="8" spans="2:16" ht="40.200000000000003" customHeight="1" thickBot="1" x14ac:dyDescent="0.35">
      <c r="B8" s="8" t="s">
        <v>9</v>
      </c>
      <c r="C8" s="9"/>
      <c r="D8" s="9">
        <v>474000</v>
      </c>
      <c r="E8" s="9"/>
      <c r="F8" s="9"/>
      <c r="G8" s="22" t="s">
        <v>12</v>
      </c>
      <c r="H8" s="23"/>
    </row>
    <row r="9" spans="2:16" ht="40.200000000000003" customHeight="1" thickBot="1" x14ac:dyDescent="0.35">
      <c r="B9" s="8" t="s">
        <v>10</v>
      </c>
      <c r="C9" s="9"/>
      <c r="D9" s="9"/>
      <c r="E9" s="9"/>
      <c r="F9" s="19"/>
      <c r="G9" s="22" t="s">
        <v>1</v>
      </c>
      <c r="H9" s="23"/>
    </row>
    <row r="10" spans="2:16" ht="40.200000000000003" customHeight="1" thickBot="1" x14ac:dyDescent="0.35">
      <c r="B10" s="8" t="s">
        <v>20</v>
      </c>
      <c r="C10" s="9"/>
      <c r="D10" s="9"/>
      <c r="E10" s="9"/>
      <c r="F10" s="12"/>
      <c r="G10" s="22" t="s">
        <v>21</v>
      </c>
      <c r="H10" s="23"/>
      <c r="P10" s="3"/>
    </row>
    <row r="11" spans="2:16" ht="40.200000000000003" customHeight="1" thickBot="1" x14ac:dyDescent="0.35">
      <c r="B11" s="8" t="s">
        <v>14</v>
      </c>
      <c r="C11" s="9"/>
      <c r="D11" s="9"/>
      <c r="E11" s="9"/>
      <c r="F11" s="12"/>
      <c r="G11" s="22" t="s">
        <v>13</v>
      </c>
      <c r="H11" s="23"/>
    </row>
    <row r="12" spans="2:16" ht="45.45" customHeight="1" thickBot="1" x14ac:dyDescent="0.35">
      <c r="B12" s="8" t="s">
        <v>18</v>
      </c>
      <c r="C12" s="9">
        <v>21500</v>
      </c>
      <c r="D12" s="9">
        <v>3500</v>
      </c>
      <c r="E12" s="9">
        <v>25000</v>
      </c>
      <c r="F12" s="12"/>
      <c r="G12" s="22" t="s">
        <v>22</v>
      </c>
      <c r="H12" s="23"/>
    </row>
    <row r="13" spans="2:16" ht="40.200000000000003" customHeight="1" thickBot="1" x14ac:dyDescent="0.35">
      <c r="B13" s="8" t="s">
        <v>23</v>
      </c>
      <c r="C13" s="9"/>
      <c r="D13" s="9"/>
      <c r="E13" s="9"/>
      <c r="F13" s="12"/>
      <c r="G13" s="22" t="s">
        <v>4</v>
      </c>
      <c r="H13" s="23"/>
    </row>
    <row r="14" spans="2:16" ht="48" customHeight="1" thickBot="1" x14ac:dyDescent="0.35">
      <c r="B14" s="8" t="s">
        <v>11</v>
      </c>
      <c r="C14" s="9"/>
      <c r="D14" s="9"/>
      <c r="E14" s="9"/>
      <c r="F14" s="12"/>
      <c r="G14" s="22" t="s">
        <v>5</v>
      </c>
      <c r="H14" s="23"/>
    </row>
    <row r="15" spans="2:16" ht="40.200000000000003" customHeight="1" thickBot="1" x14ac:dyDescent="0.35">
      <c r="B15" s="8" t="s">
        <v>16</v>
      </c>
      <c r="C15" s="9"/>
      <c r="D15" s="9"/>
      <c r="E15" s="9"/>
      <c r="F15" s="13"/>
      <c r="G15" s="22" t="s">
        <v>17</v>
      </c>
      <c r="H15" s="23"/>
    </row>
    <row r="16" spans="2:16" ht="26.7" customHeight="1" thickBot="1" x14ac:dyDescent="0.35">
      <c r="B16" s="10" t="s">
        <v>30</v>
      </c>
      <c r="C16" s="14">
        <f>SUM(C4:C15)</f>
        <v>231500</v>
      </c>
      <c r="D16" s="15">
        <f>SUM(D4:D15)</f>
        <v>922500</v>
      </c>
      <c r="E16" s="17">
        <f>SUM(E4:E15)</f>
        <v>680000</v>
      </c>
      <c r="F16" s="16">
        <f>SUM(F4:F15)</f>
        <v>342000</v>
      </c>
    </row>
    <row r="17" spans="2:6" ht="22.5" customHeight="1" thickBot="1" x14ac:dyDescent="0.35">
      <c r="B17" s="2" t="s">
        <v>6</v>
      </c>
      <c r="C17" s="20">
        <f>C16+D16</f>
        <v>1154000</v>
      </c>
      <c r="D17" s="21"/>
      <c r="E17" s="24">
        <f>E16+F16</f>
        <v>1022000</v>
      </c>
      <c r="F17" s="21"/>
    </row>
    <row r="18" spans="2:6" x14ac:dyDescent="0.3">
      <c r="C18" s="4"/>
      <c r="E18" s="4"/>
    </row>
    <row r="19" spans="2:6" x14ac:dyDescent="0.3">
      <c r="C19" s="11"/>
    </row>
    <row r="21" spans="2:6" x14ac:dyDescent="0.3">
      <c r="E21" s="11"/>
    </row>
    <row r="23" spans="2:6" x14ac:dyDescent="0.3">
      <c r="E23" s="11"/>
    </row>
    <row r="24" spans="2:6" x14ac:dyDescent="0.3">
      <c r="E24" s="11"/>
    </row>
  </sheetData>
  <mergeCells count="19">
    <mergeCell ref="G6:H6"/>
    <mergeCell ref="G7:H7"/>
    <mergeCell ref="G5:H5"/>
    <mergeCell ref="B1:H1"/>
    <mergeCell ref="B2:B3"/>
    <mergeCell ref="E2:F2"/>
    <mergeCell ref="G2:H3"/>
    <mergeCell ref="G4:H4"/>
    <mergeCell ref="C2:D2"/>
    <mergeCell ref="G10:H10"/>
    <mergeCell ref="G11:H11"/>
    <mergeCell ref="G12:H12"/>
    <mergeCell ref="G8:H8"/>
    <mergeCell ref="G9:H9"/>
    <mergeCell ref="C17:D17"/>
    <mergeCell ref="G13:H13"/>
    <mergeCell ref="G14:H14"/>
    <mergeCell ref="G15:H15"/>
    <mergeCell ref="E17:F17"/>
  </mergeCell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873BF2-2987-4994-AE78-F38EFEEC1D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План_Бюджет_ІБ_2025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Nimda</dc:creator>
  <cp:lastModifiedBy>Іванов Максим Володимирович</cp:lastModifiedBy>
  <cp:lastPrinted>2024-10-14T06:56:15Z</cp:lastPrinted>
  <dcterms:created xsi:type="dcterms:W3CDTF">2015-06-05T18:19:34Z</dcterms:created>
  <dcterms:modified xsi:type="dcterms:W3CDTF">2026-01-18T08:58:57Z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4f42c9-1a83-4f0c-bb9a-0be25598d17b_Enabled">
    <vt:lpwstr>true</vt:lpwstr>
  </property>
  <property fmtid="{D5CDD505-2E9C-101B-9397-08002B2CF9AE}" pid="3" name="MSIP_Label_c64f42c9-1a83-4f0c-bb9a-0be25598d17b_SetDate">
    <vt:lpwstr>2024-10-09T14:12:29Z</vt:lpwstr>
  </property>
  <property fmtid="{D5CDD505-2E9C-101B-9397-08002B2CF9AE}" pid="4" name="MSIP_Label_c64f42c9-1a83-4f0c-bb9a-0be25598d17b_Method">
    <vt:lpwstr>Privileged</vt:lpwstr>
  </property>
  <property fmtid="{D5CDD505-2E9C-101B-9397-08002B2CF9AE}" pid="5" name="MSIP_Label_c64f42c9-1a83-4f0c-bb9a-0be25598d17b_Name">
    <vt:lpwstr>Группы</vt:lpwstr>
  </property>
  <property fmtid="{D5CDD505-2E9C-101B-9397-08002B2CF9AE}" pid="6" name="MSIP_Label_c64f42c9-1a83-4f0c-bb9a-0be25598d17b_SiteId">
    <vt:lpwstr>58c65023-81a1-4a01-9ff3-242d10dbc685</vt:lpwstr>
  </property>
  <property fmtid="{D5CDD505-2E9C-101B-9397-08002B2CF9AE}" pid="7" name="MSIP_Label_c64f42c9-1a83-4f0c-bb9a-0be25598d17b_ActionId">
    <vt:lpwstr>6ac2d129-2633-43da-ab2c-67b05fbecf4e</vt:lpwstr>
  </property>
  <property fmtid="{D5CDD505-2E9C-101B-9397-08002B2CF9AE}" pid="8" name="MSIP_Label_c64f42c9-1a83-4f0c-bb9a-0be25598d17b_ContentBits">
    <vt:lpwstr>0</vt:lpwstr>
  </property>
</Properties>
</file>